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ersonas" sheetId="2" state="visible" r:id="rId4"/>
    <sheet name="Campaign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<sst xmlns="http://schemas.openxmlformats.org/spreadsheetml/2006/main" count="196" uniqueCount="134">
  <si>
    <t xml:space="preserve">SignalARC — Target Personas &amp; Apollo Filters</t>
  </si>
  <si>
    <t xml:space="preserve">Six buyer personas across our target B2B industries, built for direct use with Apollo.io.</t>
  </si>
  <si>
    <t xml:space="preserve">#</t>
  </si>
  <si>
    <t xml:space="preserve">Industry</t>
  </si>
  <si>
    <t xml:space="preserve">Persona</t>
  </si>
  <si>
    <t xml:space="preserve">Priority</t>
  </si>
  <si>
    <t xml:space="preserve">Primary Channel</t>
  </si>
  <si>
    <t xml:space="preserve">Target Title (Lead)</t>
  </si>
  <si>
    <t xml:space="preserve">Financial Services &amp; Insurance</t>
  </si>
  <si>
    <t xml:space="preserve">The Compliance-Minded CMO</t>
  </si>
  <si>
    <t xml:space="preserve">P1</t>
  </si>
  <si>
    <t xml:space="preserve">LinkedIn + Email</t>
  </si>
  <si>
    <t xml:space="preserve">VP Marketing</t>
  </si>
  <si>
    <t xml:space="preserve">Healthcare &amp; Medical Devices</t>
  </si>
  <si>
    <t xml:space="preserve">The Clinical-Buyer Targeting Marketer</t>
  </si>
  <si>
    <t xml:space="preserve">Email + LinkedIn</t>
  </si>
  <si>
    <t xml:space="preserve">Manufacturing &amp; Industrial</t>
  </si>
  <si>
    <t xml:space="preserve">The Digital-Transformation Marketer</t>
  </si>
  <si>
    <t xml:space="preserve">P2</t>
  </si>
  <si>
    <t xml:space="preserve">Logistics &amp; Supply Chain</t>
  </si>
  <si>
    <t xml:space="preserve">The Post-Pandemic Growth Marketer</t>
  </si>
  <si>
    <t xml:space="preserve">HR &amp; Workforce Management</t>
  </si>
  <si>
    <t xml:space="preserve">The Committee-Navigating Marketer</t>
  </si>
  <si>
    <t xml:space="preserve">Commercial Real Estate</t>
  </si>
  <si>
    <t xml:space="preserve">The Relationship-Driven Marketer</t>
  </si>
  <si>
    <t xml:space="preserve">P3</t>
  </si>
  <si>
    <t xml:space="preserve">LinkedIn primarily, Email secondary</t>
  </si>
  <si>
    <t xml:space="preserve">How to use this workbook</t>
  </si>
  <si>
    <t xml:space="preserve">Step 1</t>
  </si>
  <si>
    <t xml:space="preserve">Open the Personas tab. Pick one persona to start (P1 priority first).</t>
  </si>
  <si>
    <t xml:space="preserve">Step 2</t>
  </si>
  <si>
    <t xml:space="preserve">In Apollo: create a new search. Paste the Primary Titles string into the Titles filter (comma-separated).</t>
  </si>
  <si>
    <t xml:space="preserve">Step 3</t>
  </si>
  <si>
    <t xml:space="preserve">Add the Apollo Industries values to the Industries filter (comma-separated).</t>
  </si>
  <si>
    <t xml:space="preserve">Step 4</t>
  </si>
  <si>
    <t xml:space="preserve">Set Employee Range and Location filters as specified in the persona row.</t>
  </si>
  <si>
    <t xml:space="preserve">Step 5</t>
  </si>
  <si>
    <t xml:space="preserve">Set Seniority to 'VP, Head, Director' (or as specified) for a tight first list.</t>
  </si>
  <si>
    <t xml:space="preserve">Step 6</t>
  </si>
  <si>
    <t xml:space="preserve">Save the Apollo list. Copy the URL back into the 'Apollo List URL' column.</t>
  </si>
  <si>
    <t xml:space="preserve">Step 7</t>
  </si>
  <si>
    <t xml:space="preserve">Export emails. Update 'Leads Exported' count. Track emails sent, replies, meetings, deals in following columns.</t>
  </si>
  <si>
    <t xml:space="preserve">Step 8</t>
  </si>
  <si>
    <t xml:space="preserve">Once a persona is validated (positive reply rate), expand with Secondary Titles.</t>
  </si>
  <si>
    <t xml:space="preserve">Persona Data (Apollo-ready)</t>
  </si>
  <si>
    <t xml:space="preserve">Persona Name</t>
  </si>
  <si>
    <t xml:space="preserve">Primary Titles (paste to Apollo)</t>
  </si>
  <si>
    <t xml:space="preserve">Secondary Titles (expand search)</t>
  </si>
  <si>
    <t xml:space="preserve">Apollo Industries</t>
  </si>
  <si>
    <t xml:space="preserve">Apollo Keywords</t>
  </si>
  <si>
    <t xml:space="preserve">Employee Range</t>
  </si>
  <si>
    <t xml:space="preserve">Revenue Range</t>
  </si>
  <si>
    <t xml:space="preserve">Location</t>
  </si>
  <si>
    <t xml:space="preserve">Seniority (Apollo field)</t>
  </si>
  <si>
    <t xml:space="preserve">Department (Apollo field)</t>
  </si>
  <si>
    <t xml:space="preserve">Key Pain Points</t>
  </si>
  <si>
    <t xml:space="preserve">Hook / Opening Line</t>
  </si>
  <si>
    <t xml:space="preserve">Best Content Angle</t>
  </si>
  <si>
    <t xml:space="preserve">Outreach Channel</t>
  </si>
  <si>
    <t xml:space="preserve">Status</t>
  </si>
  <si>
    <t xml:space="preserve">Apollo List URL</t>
  </si>
  <si>
    <t xml:space="preserve">Leads Exported</t>
  </si>
  <si>
    <t xml:space="preserve">Emails Sent</t>
  </si>
  <si>
    <t xml:space="preserve">Replies</t>
  </si>
  <si>
    <t xml:space="preserve">Meetings Booked</t>
  </si>
  <si>
    <t xml:space="preserve">Deals Closed</t>
  </si>
  <si>
    <t xml:space="preserve">Notes</t>
  </si>
  <si>
    <t xml:space="preserve">VP Marketing, Director of Demand Generation, Director of Marketing, Head of Growth</t>
  </si>
  <si>
    <t xml:space="preserve">CMO, VP of Digital Marketing, Director of Product Marketing, Field Marketing Director</t>
  </si>
  <si>
    <t xml:space="preserve">Banking, Financial Services, Insurance, Investment Management, Venture Capital &amp; Private Equity, Capital Markets, Accounting</t>
  </si>
  <si>
    <t xml:space="preserve">fintech, credit union, regional bank, wealth management, commercial insurance</t>
  </si>
  <si>
    <t xml:space="preserve">200 - 5,000</t>
  </si>
  <si>
    <t xml:space="preserve">$50M - $5B</t>
  </si>
  <si>
    <t xml:space="preserve">United States, Canada</t>
  </si>
  <si>
    <t xml:space="preserve">VP, Head, Director</t>
  </si>
  <si>
    <t xml:space="preserve">Marketing</t>
  </si>
  <si>
    <t xml:space="preserve">Compliance-heavy content approval; crowded LinkedIn advertising; small target universe of decision-makers; long regulatory sales cycles</t>
  </si>
  <si>
    <t xml:space="preserve">Compliance-friendly B2B lead gen that works in regulated finance and insurance</t>
  </si>
  <si>
    <t xml:space="preserve">Benchmark reports, compliance playbooks, peer case studies with concrete ROI numbers</t>
  </si>
  <si>
    <t xml:space="preserve">To Do</t>
  </si>
  <si>
    <t xml:space="preserve">VP Marketing, Director of Demand Generation, Director of Digital Marketing, Director of Product Marketing</t>
  </si>
  <si>
    <t xml:space="preserve">CMO, Head of Growth, Marketing Director, VP of Commercial</t>
  </si>
  <si>
    <t xml:space="preserve">Medical Devices, Hospital &amp; Health Care, Pharmaceuticals, Biotechnology, Medical Practice, Health, Wellness and Fitness, Information Technology and Services</t>
  </si>
  <si>
    <t xml:space="preserve">medtech, health IT, HIPAA, healthtech, clinical, digital health</t>
  </si>
  <si>
    <t xml:space="preserve">100 - 2,500</t>
  </si>
  <si>
    <t xml:space="preserve">$25M - $2B</t>
  </si>
  <si>
    <t xml:space="preserve">Hard to reach physicians and clinicians; HIPAA-mindful content requirements; long procurement cycles (6-18 months); need for clinical credibility over marketing polish</t>
  </si>
  <si>
    <t xml:space="preserve">Reach verified clinicians and healthcare buyers with gated content they actually trust</t>
  </si>
  <si>
    <t xml:space="preserve">Clinical case studies, ROI analyses, regulatory how-tos, peer-reviewed format reports</t>
  </si>
  <si>
    <t xml:space="preserve">VP Marketing, Director of Marketing, Marketing Director, Marketing Manager</t>
  </si>
  <si>
    <t xml:space="preserve">CMO, Director of Digital Marketing, Head of Marketing, Director of Business Development</t>
  </si>
  <si>
    <t xml:space="preserve">Industrial Automation, Machinery, Electrical/Electronic Manufacturing, Building Materials, Chemicals, Plastics, Packaging and Containers, Aerospace, Defense &amp; Space, Automotive</t>
  </si>
  <si>
    <t xml:space="preserve">industrial, manufacturing, OEM, fabrication, process automation, B2B industrial</t>
  </si>
  <si>
    <t xml:space="preserve">250 - 5,000</t>
  </si>
  <si>
    <t xml:space="preserve">$100M - $5B</t>
  </si>
  <si>
    <t xml:space="preserve">VP, Head, Director, Manager</t>
  </si>
  <si>
    <t xml:space="preserve">Behind on digital marketing maturity; trade publications still dominate; hard to measure digital ROI; buyers skeptical of SaaS-style marketing tactics</t>
  </si>
  <si>
    <t xml:space="preserve">B2B lead gen that works for industrial companies (no SaaS buzzwords)</t>
  </si>
  <si>
    <t xml:space="preserve">ROI-proof case studies, peer benchmarks, 'how [competitor] did it' operator stories</t>
  </si>
  <si>
    <t xml:space="preserve">CMO, Marketing Director, Marketing Manager, Director of Commercial</t>
  </si>
  <si>
    <t xml:space="preserve">Logistics and Supply Chain, Transportation/Trucking/Railroad, Warehousing, Maritime, Package/Freight Delivery, Import and Export, Airlines/Aviation</t>
  </si>
  <si>
    <t xml:space="preserve">3PL, freight, warehousing, supply chain, last mile, TMS, WMS, cold chain</t>
  </si>
  <si>
    <t xml:space="preserve">100 - 3,000</t>
  </si>
  <si>
    <t xml:space="preserve">$50M - $2B</t>
  </si>
  <si>
    <t xml:space="preserve">Industry shifting from reactive to proactive marketing; tight margins = cost-sensitive; buyers are operators not marketers; high deal value opportunity for winners</t>
  </si>
  <si>
    <t xml:space="preserve">Content syndication for logistics: reach VPs of ops, not just VP marketing</t>
  </si>
  <si>
    <t xml:space="preserve">Operations ROI case studies, warehouse efficiency benchmarks, shipping cost analyses</t>
  </si>
  <si>
    <t xml:space="preserve">VP Marketing, CMO, Director of Demand Generation, Head of Growth</t>
  </si>
  <si>
    <t xml:space="preserve">Director of Product Marketing, Field Marketing Director, Marketing Director, Director of Commercial Marketing</t>
  </si>
  <si>
    <t xml:space="preserve">Human Resources, Computer Software, Staffing and Recruiting, Professional Training &amp; Coaching, Information Technology and Services, Management Consulting</t>
  </si>
  <si>
    <t xml:space="preserve">HR tech, HRIS, HCM, workforce management, talent acquisition, employee engagement, payroll software</t>
  </si>
  <si>
    <t xml:space="preserve">50 - 2,000</t>
  </si>
  <si>
    <t xml:space="preserve">$10M - $1B</t>
  </si>
  <si>
    <t xml:space="preserve">Crowded HR tech category; buyer is HR leadership (CHRO, VP People) with long buying committees; 9-12 month sales cycles; saturation of generic thought leadership</t>
  </si>
  <si>
    <t xml:space="preserve">Reach CHROs and VP People leaders at scaling companies with content they haven't seen 100 times</t>
  </si>
  <si>
    <t xml:space="preserve">People-ops benchmarks, hiring efficiency studies, retention playbooks, workforce data reports</t>
  </si>
  <si>
    <t xml:space="preserve">VP Marketing, CMO, Marketing Director, Director of Marketing</t>
  </si>
  <si>
    <t xml:space="preserve">Director of Business Development, Head of Marketing, Marketing Manager, Director of Commercial</t>
  </si>
  <si>
    <t xml:space="preserve">Commercial Real Estate, Real Estate, Real Estate Investment, Leasing Non-residential Real Estate, Investment Management, Construction</t>
  </si>
  <si>
    <t xml:space="preserve">CRE, REIT, proptech, commercial broker, asset management, property technology</t>
  </si>
  <si>
    <t xml:space="preserve">50 - 1,500</t>
  </si>
  <si>
    <t xml:space="preserve">$25M - $1B</t>
  </si>
  <si>
    <t xml:space="preserve">Relationship-driven industry skeptical of digital marketing; long deal cycles (6-24 months); buyers are brokers/advisors/investors; low trust in 'spammy' marketing</t>
  </si>
  <si>
    <t xml:space="preserve">Digital lead gen for CRE firms — done quietly, no spam, no gimmicks</t>
  </si>
  <si>
    <t xml:space="preserve">Market reports, investment analyses, broker productivity benchmarks, peer case studies</t>
  </si>
  <si>
    <t xml:space="preserve">Outreach Campaign Tracker</t>
  </si>
  <si>
    <t xml:space="preserve">Log each outreach push here. Formulas compute reply rate and meeting rate automatically.</t>
  </si>
  <si>
    <t xml:space="preserve">Date</t>
  </si>
  <si>
    <t xml:space="preserve">Campaign Name</t>
  </si>
  <si>
    <t xml:space="preserve">Leads Contacted</t>
  </si>
  <si>
    <t xml:space="preserve">Opens</t>
  </si>
  <si>
    <t xml:space="preserve">Reply Rate</t>
  </si>
  <si>
    <t xml:space="preserve">Meeting Rate</t>
  </si>
  <si>
    <t xml:space="preserve">TOTALS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</si>
</sst>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0D4A8"/>
      <name val="Arial"/>
      <family val="0"/>
      <charset val="1"/>
    </font>
    <font>
      <i val="true"/>
      <sz val="11"/>
      <color rgb="FF7A9E98"/>
      <name val="Arial"/>
      <family val="0"/>
      <charset val="1"/>
    </font>
    <font>
      <b val="true"/>
      <sz val="11"/>
      <color rgb="FF071012"/>
      <name val="Arial"/>
      <family val="0"/>
      <charset val="1"/>
    </font>
    <font>
      <sz val="10"/>
      <color rgb="FFF0F8F6"/>
      <name val="Arial"/>
      <family val="0"/>
      <charset val="1"/>
    </font>
    <font>
      <b val="true"/>
      <sz val="14"/>
      <color rgb="FF00D4A8"/>
      <name val="Arial"/>
      <family val="0"/>
      <charset val="1"/>
    </font>
    <font>
      <b val="true"/>
      <sz val="10"/>
      <color rgb="FFF0F8F6"/>
      <name val="Arial"/>
      <family val="0"/>
      <charset val="1"/>
    </font>
    <font>
      <b val="true"/>
      <sz val="18"/>
      <color rgb="FF00D4A8"/>
      <name val="Arial"/>
      <family val="0"/>
      <charset val="1"/>
    </font>
    <font>
      <b val="true"/>
      <sz val="10"/>
      <color rgb="FF00D4A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D4A8"/>
        <bgColor rgb="FF33CCCC"/>
      </patternFill>
    </fill>
    <fill>
      <patternFill patternType="solid">
        <fgColor rgb="FF112228"/>
        <bgColor rgb="FF0D1C20"/>
      </patternFill>
    </fill>
    <fill>
      <patternFill patternType="solid">
        <fgColor rgb="FF0D1C20"/>
        <bgColor rgb="FF11222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F3137"/>
      </left>
      <right style="thin">
        <color rgb="FF1F3137"/>
      </right>
      <top style="thin">
        <color rgb="FF1F3137"/>
      </top>
      <bottom style="thin">
        <color rgb="FF1F313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F8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71012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A8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A9E98"/>
      <rgbColor rgb="FF003366"/>
      <rgbColor rgb="FF339966"/>
      <rgbColor rgb="FF112228"/>
      <rgbColor rgb="FF0D1C20"/>
      <rgbColor rgb="FF993300"/>
      <rgbColor rgb="FF993366"/>
      <rgbColor rgb="FF333399"/>
      <rgbColor rgb="FF1F31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A8"/>
    <pageSetUpPr fitToPage="false"/>
  </sheetPr>
  <dimension ref="A1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3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1.75" hidden="false" customHeight="true" outlineLevel="0" collapsed="false">
      <c r="A5" s="4" t="n">
        <v>1</v>
      </c>
      <c r="B5" s="5" t="s">
        <v>8</v>
      </c>
      <c r="C5" s="5" t="s">
        <v>9</v>
      </c>
      <c r="D5" s="4" t="s">
        <v>10</v>
      </c>
      <c r="E5" s="5" t="s">
        <v>11</v>
      </c>
      <c r="F5" s="5" t="s">
        <v>12</v>
      </c>
    </row>
    <row r="6" customFormat="false" ht="21.75" hidden="false" customHeight="true" outlineLevel="0" collapsed="false">
      <c r="A6" s="6" t="n">
        <v>2</v>
      </c>
      <c r="B6" s="7" t="s">
        <v>13</v>
      </c>
      <c r="C6" s="7" t="s">
        <v>14</v>
      </c>
      <c r="D6" s="6" t="s">
        <v>10</v>
      </c>
      <c r="E6" s="7" t="s">
        <v>15</v>
      </c>
      <c r="F6" s="7" t="s">
        <v>12</v>
      </c>
    </row>
    <row r="7" customFormat="false" ht="21.75" hidden="false" customHeight="true" outlineLevel="0" collapsed="false">
      <c r="A7" s="4" t="n">
        <v>3</v>
      </c>
      <c r="B7" s="5" t="s">
        <v>16</v>
      </c>
      <c r="C7" s="5" t="s">
        <v>17</v>
      </c>
      <c r="D7" s="4" t="s">
        <v>18</v>
      </c>
      <c r="E7" s="5" t="s">
        <v>15</v>
      </c>
      <c r="F7" s="5" t="s">
        <v>12</v>
      </c>
    </row>
    <row r="8" customFormat="false" ht="21.75" hidden="false" customHeight="true" outlineLevel="0" collapsed="false">
      <c r="A8" s="6" t="n">
        <v>4</v>
      </c>
      <c r="B8" s="7" t="s">
        <v>19</v>
      </c>
      <c r="C8" s="7" t="s">
        <v>20</v>
      </c>
      <c r="D8" s="6" t="s">
        <v>18</v>
      </c>
      <c r="E8" s="7" t="s">
        <v>15</v>
      </c>
      <c r="F8" s="7" t="s">
        <v>12</v>
      </c>
    </row>
    <row r="9" customFormat="false" ht="21.75" hidden="false" customHeight="true" outlineLevel="0" collapsed="false">
      <c r="A9" s="4" t="n">
        <v>5</v>
      </c>
      <c r="B9" s="5" t="s">
        <v>21</v>
      </c>
      <c r="C9" s="5" t="s">
        <v>22</v>
      </c>
      <c r="D9" s="4" t="s">
        <v>10</v>
      </c>
      <c r="E9" s="5" t="s">
        <v>11</v>
      </c>
      <c r="F9" s="5" t="s">
        <v>12</v>
      </c>
    </row>
    <row r="10" customFormat="false" ht="21.75" hidden="false" customHeight="true" outlineLevel="0" collapsed="false">
      <c r="A10" s="6" t="n">
        <v>6</v>
      </c>
      <c r="B10" s="7" t="s">
        <v>23</v>
      </c>
      <c r="C10" s="7" t="s">
        <v>24</v>
      </c>
      <c r="D10" s="6" t="s">
        <v>25</v>
      </c>
      <c r="E10" s="7" t="s">
        <v>26</v>
      </c>
      <c r="F10" s="7" t="s">
        <v>12</v>
      </c>
    </row>
    <row r="12" customFormat="false" ht="24" hidden="false" customHeight="true" outlineLevel="0" collapsed="false">
      <c r="A12" s="8" t="s">
        <v>27</v>
      </c>
      <c r="B12" s="8"/>
      <c r="C12" s="8"/>
      <c r="D12" s="8"/>
      <c r="E12" s="8"/>
      <c r="F12" s="8"/>
    </row>
    <row r="13" customFormat="false" ht="24" hidden="false" customHeight="true" outlineLevel="0" collapsed="false">
      <c r="A13" s="9" t="s">
        <v>28</v>
      </c>
      <c r="B13" s="7" t="s">
        <v>29</v>
      </c>
      <c r="C13" s="7"/>
      <c r="D13" s="7"/>
      <c r="E13" s="7"/>
      <c r="F13" s="7"/>
    </row>
    <row r="14" customFormat="false" ht="24" hidden="false" customHeight="true" outlineLevel="0" collapsed="false">
      <c r="A14" s="9" t="s">
        <v>30</v>
      </c>
      <c r="B14" s="7" t="s">
        <v>31</v>
      </c>
      <c r="C14" s="7"/>
      <c r="D14" s="7"/>
      <c r="E14" s="7"/>
      <c r="F14" s="7"/>
    </row>
    <row r="15" customFormat="false" ht="24" hidden="false" customHeight="true" outlineLevel="0" collapsed="false">
      <c r="A15" s="9" t="s">
        <v>32</v>
      </c>
      <c r="B15" s="7" t="s">
        <v>33</v>
      </c>
      <c r="C15" s="7"/>
      <c r="D15" s="7"/>
      <c r="E15" s="7"/>
      <c r="F15" s="7"/>
    </row>
    <row r="16" customFormat="false" ht="24" hidden="false" customHeight="true" outlineLevel="0" collapsed="false">
      <c r="A16" s="9" t="s">
        <v>34</v>
      </c>
      <c r="B16" s="7" t="s">
        <v>35</v>
      </c>
      <c r="C16" s="7"/>
      <c r="D16" s="7"/>
      <c r="E16" s="7"/>
      <c r="F16" s="7"/>
    </row>
    <row r="17" customFormat="false" ht="24" hidden="false" customHeight="true" outlineLevel="0" collapsed="false">
      <c r="A17" s="9" t="s">
        <v>36</v>
      </c>
      <c r="B17" s="7" t="s">
        <v>37</v>
      </c>
      <c r="C17" s="7"/>
      <c r="D17" s="7"/>
      <c r="E17" s="7"/>
      <c r="F17" s="7"/>
    </row>
    <row r="18" customFormat="false" ht="24" hidden="false" customHeight="true" outlineLevel="0" collapsed="false">
      <c r="A18" s="9" t="s">
        <v>38</v>
      </c>
      <c r="B18" s="7" t="s">
        <v>39</v>
      </c>
      <c r="C18" s="7"/>
      <c r="D18" s="7"/>
      <c r="E18" s="7"/>
      <c r="F18" s="7"/>
    </row>
    <row r="19" customFormat="false" ht="24" hidden="false" customHeight="true" outlineLevel="0" collapsed="false">
      <c r="A19" s="9" t="s">
        <v>40</v>
      </c>
      <c r="B19" s="7" t="s">
        <v>41</v>
      </c>
      <c r="C19" s="7"/>
      <c r="D19" s="7"/>
      <c r="E19" s="7"/>
      <c r="F19" s="7"/>
    </row>
    <row r="20" customFormat="false" ht="24" hidden="false" customHeight="true" outlineLevel="0" collapsed="false">
      <c r="A20" s="9" t="s">
        <v>42</v>
      </c>
      <c r="B20" s="7" t="s">
        <v>43</v>
      </c>
      <c r="C20" s="7"/>
      <c r="D20" s="7"/>
      <c r="E20" s="7"/>
      <c r="F20" s="7"/>
    </row>
  </sheetData>
  <mergeCells count="11">
    <mergeCell ref="A1:F1"/>
    <mergeCell ref="A2:F2"/>
    <mergeCell ref="A12:F12"/>
    <mergeCell ref="B13:F13"/>
    <mergeCell ref="B14:F14"/>
    <mergeCell ref="B15:F15"/>
    <mergeCell ref="B16:F16"/>
    <mergeCell ref="B17:F17"/>
    <mergeCell ref="B18:F18"/>
    <mergeCell ref="B19:F19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A8"/>
    <pageSetUpPr fitToPage="false"/>
  </sheetPr>
  <dimension ref="A1:X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9"/>
    <col collapsed="false" customWidth="true" hidden="false" outlineLevel="0" max="6" min="4" style="0" width="60"/>
    <col collapsed="false" customWidth="true" hidden="false" outlineLevel="0" max="7" min="7" style="0" width="50"/>
    <col collapsed="false" customWidth="true" hidden="false" outlineLevel="0" max="9" min="8" style="0" width="16"/>
    <col collapsed="false" customWidth="true" hidden="false" outlineLevel="0" max="10" min="10" style="0" width="18"/>
    <col collapsed="false" customWidth="true" hidden="false" outlineLevel="0" max="12" min="11" style="0" width="20"/>
    <col collapsed="false" customWidth="true" hidden="false" outlineLevel="0" max="13" min="13" style="0" width="60"/>
    <col collapsed="false" customWidth="true" hidden="false" outlineLevel="0" max="15" min="14" style="0" width="55"/>
    <col collapsed="false" customWidth="true" hidden="false" outlineLevel="0" max="16" min="16" style="0" width="20"/>
    <col collapsed="false" customWidth="true" hidden="false" outlineLevel="0" max="17" min="17" style="0" width="14"/>
    <col collapsed="false" customWidth="true" hidden="false" outlineLevel="0" max="18" min="18" style="0" width="30"/>
    <col collapsed="false" customWidth="true" hidden="false" outlineLevel="0" max="19" min="19" style="0" width="14"/>
    <col collapsed="false" customWidth="true" hidden="false" outlineLevel="0" max="20" min="20" style="0" width="12"/>
    <col collapsed="false" customWidth="true" hidden="false" outlineLevel="0" max="21" min="21" style="0" width="10"/>
    <col collapsed="false" customWidth="true" hidden="false" outlineLevel="0" max="22" min="22" style="0" width="14"/>
    <col collapsed="false" customWidth="true" hidden="false" outlineLevel="0" max="23" min="23" style="0" width="12"/>
    <col collapsed="false" customWidth="true" hidden="false" outlineLevel="0" max="24" min="24" style="0" width="40"/>
  </cols>
  <sheetData>
    <row r="1" customFormat="false" ht="30" hidden="false" customHeight="true" outlineLevel="0" collapsed="false">
      <c r="A1" s="10" t="s">
        <v>44</v>
      </c>
      <c r="B1" s="10"/>
      <c r="C1" s="10"/>
      <c r="D1" s="10"/>
      <c r="E1" s="10"/>
      <c r="F1" s="10"/>
      <c r="G1" s="10"/>
      <c r="H1" s="10"/>
      <c r="I1" s="10"/>
      <c r="J1" s="10"/>
    </row>
    <row r="3" customFormat="false" ht="36" hidden="false" customHeight="true" outlineLevel="0" collapsed="false">
      <c r="A3" s="11" t="s">
        <v>3</v>
      </c>
      <c r="B3" s="11" t="s">
        <v>45</v>
      </c>
      <c r="C3" s="11" t="s">
        <v>5</v>
      </c>
      <c r="D3" s="11" t="s">
        <v>46</v>
      </c>
      <c r="E3" s="11" t="s">
        <v>47</v>
      </c>
      <c r="F3" s="11" t="s">
        <v>48</v>
      </c>
      <c r="G3" s="11" t="s">
        <v>49</v>
      </c>
      <c r="H3" s="11" t="s">
        <v>50</v>
      </c>
      <c r="I3" s="11" t="s">
        <v>51</v>
      </c>
      <c r="J3" s="11" t="s">
        <v>52</v>
      </c>
      <c r="K3" s="11" t="s">
        <v>53</v>
      </c>
      <c r="L3" s="11" t="s">
        <v>54</v>
      </c>
      <c r="M3" s="11" t="s">
        <v>55</v>
      </c>
      <c r="N3" s="11" t="s">
        <v>56</v>
      </c>
      <c r="O3" s="11" t="s">
        <v>57</v>
      </c>
      <c r="P3" s="11" t="s">
        <v>58</v>
      </c>
      <c r="Q3" s="11" t="s">
        <v>59</v>
      </c>
      <c r="R3" s="11" t="s">
        <v>60</v>
      </c>
      <c r="S3" s="11" t="s">
        <v>61</v>
      </c>
      <c r="T3" s="11" t="s">
        <v>62</v>
      </c>
      <c r="U3" s="11" t="s">
        <v>63</v>
      </c>
      <c r="V3" s="11" t="s">
        <v>64</v>
      </c>
      <c r="W3" s="11" t="s">
        <v>65</v>
      </c>
      <c r="X3" s="11" t="s">
        <v>66</v>
      </c>
    </row>
    <row r="4" customFormat="false" ht="139.5" hidden="false" customHeight="true" outlineLevel="0" collapsed="false">
      <c r="A4" s="12" t="s">
        <v>8</v>
      </c>
      <c r="B4" s="7" t="s">
        <v>9</v>
      </c>
      <c r="C4" s="13" t="s">
        <v>10</v>
      </c>
      <c r="D4" s="7" t="s">
        <v>67</v>
      </c>
      <c r="E4" s="7" t="s">
        <v>68</v>
      </c>
      <c r="F4" s="7" t="s">
        <v>69</v>
      </c>
      <c r="G4" s="7" t="s">
        <v>70</v>
      </c>
      <c r="H4" s="7" t="s">
        <v>71</v>
      </c>
      <c r="I4" s="7" t="s">
        <v>72</v>
      </c>
      <c r="J4" s="7" t="s">
        <v>73</v>
      </c>
      <c r="K4" s="7" t="s">
        <v>74</v>
      </c>
      <c r="L4" s="7" t="s">
        <v>75</v>
      </c>
      <c r="M4" s="7" t="s">
        <v>76</v>
      </c>
      <c r="N4" s="7" t="s">
        <v>77</v>
      </c>
      <c r="O4" s="7" t="s">
        <v>78</v>
      </c>
      <c r="P4" s="7" t="s">
        <v>11</v>
      </c>
      <c r="Q4" s="7" t="s">
        <v>79</v>
      </c>
      <c r="R4" s="7"/>
      <c r="S4" s="7"/>
      <c r="T4" s="7"/>
      <c r="U4" s="7"/>
      <c r="V4" s="7"/>
      <c r="W4" s="7"/>
      <c r="X4" s="7"/>
    </row>
    <row r="5" customFormat="false" ht="139.5" hidden="false" customHeight="true" outlineLevel="0" collapsed="false">
      <c r="A5" s="14" t="s">
        <v>13</v>
      </c>
      <c r="B5" s="5" t="s">
        <v>14</v>
      </c>
      <c r="C5" s="15" t="s">
        <v>10</v>
      </c>
      <c r="D5" s="5" t="s">
        <v>80</v>
      </c>
      <c r="E5" s="5" t="s">
        <v>81</v>
      </c>
      <c r="F5" s="5" t="s">
        <v>82</v>
      </c>
      <c r="G5" s="5" t="s">
        <v>83</v>
      </c>
      <c r="H5" s="5" t="s">
        <v>84</v>
      </c>
      <c r="I5" s="5" t="s">
        <v>85</v>
      </c>
      <c r="J5" s="5" t="s">
        <v>73</v>
      </c>
      <c r="K5" s="5" t="s">
        <v>74</v>
      </c>
      <c r="L5" s="5" t="s">
        <v>75</v>
      </c>
      <c r="M5" s="5" t="s">
        <v>86</v>
      </c>
      <c r="N5" s="5" t="s">
        <v>87</v>
      </c>
      <c r="O5" s="5" t="s">
        <v>88</v>
      </c>
      <c r="P5" s="5" t="s">
        <v>15</v>
      </c>
      <c r="Q5" s="5" t="s">
        <v>79</v>
      </c>
      <c r="R5" s="5"/>
      <c r="S5" s="5"/>
      <c r="T5" s="5"/>
      <c r="U5" s="5"/>
      <c r="V5" s="5"/>
      <c r="W5" s="5"/>
      <c r="X5" s="5"/>
    </row>
    <row r="6" customFormat="false" ht="139.5" hidden="false" customHeight="true" outlineLevel="0" collapsed="false">
      <c r="A6" s="12" t="s">
        <v>16</v>
      </c>
      <c r="B6" s="7" t="s">
        <v>17</v>
      </c>
      <c r="C6" s="13" t="s">
        <v>18</v>
      </c>
      <c r="D6" s="7" t="s">
        <v>89</v>
      </c>
      <c r="E6" s="7" t="s">
        <v>90</v>
      </c>
      <c r="F6" s="7" t="s">
        <v>91</v>
      </c>
      <c r="G6" s="7" t="s">
        <v>92</v>
      </c>
      <c r="H6" s="7" t="s">
        <v>93</v>
      </c>
      <c r="I6" s="7" t="s">
        <v>94</v>
      </c>
      <c r="J6" s="7" t="s">
        <v>73</v>
      </c>
      <c r="K6" s="7" t="s">
        <v>95</v>
      </c>
      <c r="L6" s="7" t="s">
        <v>75</v>
      </c>
      <c r="M6" s="7" t="s">
        <v>96</v>
      </c>
      <c r="N6" s="7" t="s">
        <v>97</v>
      </c>
      <c r="O6" s="7" t="s">
        <v>98</v>
      </c>
      <c r="P6" s="7" t="s">
        <v>15</v>
      </c>
      <c r="Q6" s="7" t="s">
        <v>79</v>
      </c>
      <c r="R6" s="7"/>
      <c r="S6" s="7"/>
      <c r="T6" s="7"/>
      <c r="U6" s="7"/>
      <c r="V6" s="7"/>
      <c r="W6" s="7"/>
      <c r="X6" s="7"/>
    </row>
    <row r="7" customFormat="false" ht="139.5" hidden="false" customHeight="true" outlineLevel="0" collapsed="false">
      <c r="A7" s="14" t="s">
        <v>19</v>
      </c>
      <c r="B7" s="5" t="s">
        <v>20</v>
      </c>
      <c r="C7" s="15" t="s">
        <v>18</v>
      </c>
      <c r="D7" s="5" t="s">
        <v>67</v>
      </c>
      <c r="E7" s="5" t="s">
        <v>99</v>
      </c>
      <c r="F7" s="5" t="s">
        <v>100</v>
      </c>
      <c r="G7" s="5" t="s">
        <v>101</v>
      </c>
      <c r="H7" s="5" t="s">
        <v>102</v>
      </c>
      <c r="I7" s="5" t="s">
        <v>103</v>
      </c>
      <c r="J7" s="5" t="s">
        <v>73</v>
      </c>
      <c r="K7" s="5" t="s">
        <v>74</v>
      </c>
      <c r="L7" s="5" t="s">
        <v>75</v>
      </c>
      <c r="M7" s="5" t="s">
        <v>104</v>
      </c>
      <c r="N7" s="5" t="s">
        <v>105</v>
      </c>
      <c r="O7" s="5" t="s">
        <v>106</v>
      </c>
      <c r="P7" s="5" t="s">
        <v>15</v>
      </c>
      <c r="Q7" s="5" t="s">
        <v>79</v>
      </c>
      <c r="R7" s="5"/>
      <c r="S7" s="5"/>
      <c r="T7" s="5"/>
      <c r="U7" s="5"/>
      <c r="V7" s="5"/>
      <c r="W7" s="5"/>
      <c r="X7" s="5"/>
    </row>
    <row r="8" customFormat="false" ht="139.5" hidden="false" customHeight="true" outlineLevel="0" collapsed="false">
      <c r="A8" s="12" t="s">
        <v>21</v>
      </c>
      <c r="B8" s="7" t="s">
        <v>22</v>
      </c>
      <c r="C8" s="13" t="s">
        <v>10</v>
      </c>
      <c r="D8" s="7" t="s">
        <v>107</v>
      </c>
      <c r="E8" s="7" t="s">
        <v>108</v>
      </c>
      <c r="F8" s="7" t="s">
        <v>109</v>
      </c>
      <c r="G8" s="7" t="s">
        <v>110</v>
      </c>
      <c r="H8" s="7" t="s">
        <v>111</v>
      </c>
      <c r="I8" s="7" t="s">
        <v>112</v>
      </c>
      <c r="J8" s="7" t="s">
        <v>73</v>
      </c>
      <c r="K8" s="7" t="s">
        <v>74</v>
      </c>
      <c r="L8" s="7" t="s">
        <v>75</v>
      </c>
      <c r="M8" s="7" t="s">
        <v>113</v>
      </c>
      <c r="N8" s="7" t="s">
        <v>114</v>
      </c>
      <c r="O8" s="7" t="s">
        <v>115</v>
      </c>
      <c r="P8" s="7" t="s">
        <v>11</v>
      </c>
      <c r="Q8" s="7" t="s">
        <v>79</v>
      </c>
      <c r="R8" s="7"/>
      <c r="S8" s="7"/>
      <c r="T8" s="7"/>
      <c r="U8" s="7"/>
      <c r="V8" s="7"/>
      <c r="W8" s="7"/>
      <c r="X8" s="7"/>
    </row>
    <row r="9" customFormat="false" ht="139.5" hidden="false" customHeight="true" outlineLevel="0" collapsed="false">
      <c r="A9" s="14" t="s">
        <v>23</v>
      </c>
      <c r="B9" s="5" t="s">
        <v>24</v>
      </c>
      <c r="C9" s="15" t="s">
        <v>25</v>
      </c>
      <c r="D9" s="5" t="s">
        <v>116</v>
      </c>
      <c r="E9" s="5" t="s">
        <v>117</v>
      </c>
      <c r="F9" s="5" t="s">
        <v>118</v>
      </c>
      <c r="G9" s="5" t="s">
        <v>119</v>
      </c>
      <c r="H9" s="5" t="s">
        <v>120</v>
      </c>
      <c r="I9" s="5" t="s">
        <v>121</v>
      </c>
      <c r="J9" s="5" t="s">
        <v>73</v>
      </c>
      <c r="K9" s="5" t="s">
        <v>74</v>
      </c>
      <c r="L9" s="5" t="s">
        <v>75</v>
      </c>
      <c r="M9" s="5" t="s">
        <v>122</v>
      </c>
      <c r="N9" s="5" t="s">
        <v>123</v>
      </c>
      <c r="O9" s="5" t="s">
        <v>124</v>
      </c>
      <c r="P9" s="5" t="s">
        <v>26</v>
      </c>
      <c r="Q9" s="5" t="s">
        <v>79</v>
      </c>
      <c r="R9" s="5"/>
      <c r="S9" s="5"/>
      <c r="T9" s="5"/>
      <c r="U9" s="5"/>
      <c r="V9" s="5"/>
      <c r="W9" s="5"/>
      <c r="X9" s="5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A8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0" t="s">
        <v>125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15" hidden="false" customHeight="false" outlineLevel="0" collapsed="false">
      <c r="A2" s="2" t="s">
        <v>126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7.75" hidden="false" customHeight="true" outlineLevel="0" collapsed="false">
      <c r="A4" s="11" t="s">
        <v>127</v>
      </c>
      <c r="B4" s="11" t="s">
        <v>4</v>
      </c>
      <c r="C4" s="11" t="s">
        <v>3</v>
      </c>
      <c r="D4" s="11" t="s">
        <v>128</v>
      </c>
      <c r="E4" s="11" t="s">
        <v>129</v>
      </c>
      <c r="F4" s="11" t="s">
        <v>62</v>
      </c>
      <c r="G4" s="11" t="s">
        <v>130</v>
      </c>
      <c r="H4" s="11" t="s">
        <v>63</v>
      </c>
      <c r="I4" s="11" t="s">
        <v>131</v>
      </c>
      <c r="J4" s="11" t="s">
        <v>64</v>
      </c>
      <c r="K4" s="11" t="s">
        <v>132</v>
      </c>
    </row>
    <row r="5" customFormat="false" ht="21.75" hidden="false" customHeight="true" outlineLevel="0" collapsed="false">
      <c r="A5" s="16"/>
      <c r="B5" s="16"/>
      <c r="C5" s="16"/>
      <c r="D5" s="16"/>
      <c r="E5" s="16"/>
      <c r="F5" s="16"/>
      <c r="G5" s="16"/>
      <c r="H5" s="16"/>
      <c r="I5" s="17" t="str">
        <f aca="false">IFERROR(H5/F5,"")</f>
        <v/>
      </c>
      <c r="J5" s="16"/>
      <c r="K5" s="17" t="str">
        <f aca="false">IFERROR(J5/H5,"")</f>
        <v/>
      </c>
    </row>
    <row r="6" customFormat="false" ht="21.75" hidden="false" customHeight="true" outlineLevel="0" collapsed="false">
      <c r="A6" s="18"/>
      <c r="B6" s="18"/>
      <c r="C6" s="18"/>
      <c r="D6" s="18"/>
      <c r="E6" s="18"/>
      <c r="F6" s="18"/>
      <c r="G6" s="18"/>
      <c r="H6" s="18"/>
      <c r="I6" s="19" t="str">
        <f aca="false">IFERROR(H6/F6,"")</f>
        <v/>
      </c>
      <c r="J6" s="18"/>
      <c r="K6" s="19" t="str">
        <f aca="false">IFERROR(J6/H6,"")</f>
        <v/>
      </c>
    </row>
    <row r="7" customFormat="false" ht="21.75" hidden="false" customHeight="true" outlineLevel="0" collapsed="false">
      <c r="A7" s="16"/>
      <c r="B7" s="16"/>
      <c r="C7" s="16"/>
      <c r="D7" s="16"/>
      <c r="E7" s="16"/>
      <c r="F7" s="16"/>
      <c r="G7" s="16"/>
      <c r="H7" s="16"/>
      <c r="I7" s="17" t="str">
        <f aca="false">IFERROR(H7/F7,"")</f>
        <v/>
      </c>
      <c r="J7" s="16"/>
      <c r="K7" s="17" t="str">
        <f aca="false">IFERROR(J7/H7,"")</f>
        <v/>
      </c>
    </row>
    <row r="8" customFormat="false" ht="21.75" hidden="false" customHeight="true" outlineLevel="0" collapsed="false">
      <c r="A8" s="18"/>
      <c r="B8" s="18"/>
      <c r="C8" s="18"/>
      <c r="D8" s="18"/>
      <c r="E8" s="18"/>
      <c r="F8" s="18"/>
      <c r="G8" s="18"/>
      <c r="H8" s="18"/>
      <c r="I8" s="19" t="str">
        <f aca="false">IFERROR(H8/F8,"")</f>
        <v/>
      </c>
      <c r="J8" s="18"/>
      <c r="K8" s="19" t="str">
        <f aca="false">IFERROR(J8/H8,"")</f>
        <v/>
      </c>
    </row>
    <row r="9" customFormat="false" ht="21.75" hidden="false" customHeight="true" outlineLevel="0" collapsed="false">
      <c r="A9" s="16"/>
      <c r="B9" s="16"/>
      <c r="C9" s="16"/>
      <c r="D9" s="16"/>
      <c r="E9" s="16"/>
      <c r="F9" s="16"/>
      <c r="G9" s="16"/>
      <c r="H9" s="16"/>
      <c r="I9" s="17" t="str">
        <f aca="false">IFERROR(H9/F9,"")</f>
        <v/>
      </c>
      <c r="J9" s="16"/>
      <c r="K9" s="17" t="str">
        <f aca="false">IFERROR(J9/H9,"")</f>
        <v/>
      </c>
    </row>
    <row r="10" customFormat="false" ht="21.75" hidden="false" customHeight="true" outlineLevel="0" collapsed="false">
      <c r="A10" s="18"/>
      <c r="B10" s="18"/>
      <c r="C10" s="18"/>
      <c r="D10" s="18"/>
      <c r="E10" s="18"/>
      <c r="F10" s="18"/>
      <c r="G10" s="18"/>
      <c r="H10" s="18"/>
      <c r="I10" s="19" t="str">
        <f aca="false">IFERROR(H10/F10,"")</f>
        <v/>
      </c>
      <c r="J10" s="18"/>
      <c r="K10" s="19" t="str">
        <f aca="false">IFERROR(J10/H10,"")</f>
        <v/>
      </c>
    </row>
    <row r="11" customFormat="false" ht="21.75" hidden="false" customHeight="true" outlineLevel="0" collapsed="false">
      <c r="A11" s="16"/>
      <c r="B11" s="16"/>
      <c r="C11" s="16"/>
      <c r="D11" s="16"/>
      <c r="E11" s="16"/>
      <c r="F11" s="16"/>
      <c r="G11" s="16"/>
      <c r="H11" s="16"/>
      <c r="I11" s="17" t="str">
        <f aca="false">IFERROR(H11/F11,"")</f>
        <v/>
      </c>
      <c r="J11" s="16"/>
      <c r="K11" s="17" t="str">
        <f aca="false">IFERROR(J11/H11,"")</f>
        <v/>
      </c>
    </row>
    <row r="12" customFormat="false" ht="21.7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9" t="str">
        <f aca="false">IFERROR(H12/F12,"")</f>
        <v/>
      </c>
      <c r="J12" s="18"/>
      <c r="K12" s="19" t="str">
        <f aca="false">IFERROR(J12/H12,"")</f>
        <v/>
      </c>
    </row>
    <row r="13" customFormat="false" ht="21.75" hidden="false" customHeight="true" outlineLevel="0" collapsed="false">
      <c r="A13" s="16"/>
      <c r="B13" s="16"/>
      <c r="C13" s="16"/>
      <c r="D13" s="16"/>
      <c r="E13" s="16"/>
      <c r="F13" s="16"/>
      <c r="G13" s="16"/>
      <c r="H13" s="16"/>
      <c r="I13" s="17" t="str">
        <f aca="false">IFERROR(H13/F13,"")</f>
        <v/>
      </c>
      <c r="J13" s="16"/>
      <c r="K13" s="17" t="str">
        <f aca="false">IFERROR(J13/H13,"")</f>
        <v/>
      </c>
    </row>
    <row r="14" customFormat="false" ht="21.75" hidden="false" customHeight="true" outlineLevel="0" collapsed="false">
      <c r="A14" s="18"/>
      <c r="B14" s="18"/>
      <c r="C14" s="18"/>
      <c r="D14" s="18"/>
      <c r="E14" s="18"/>
      <c r="F14" s="18"/>
      <c r="G14" s="18"/>
      <c r="H14" s="18"/>
      <c r="I14" s="19" t="str">
        <f aca="false">IFERROR(H14/F14,"")</f>
        <v/>
      </c>
      <c r="J14" s="18"/>
      <c r="K14" s="19" t="str">
        <f aca="false">IFERROR(J14/H14,"")</f>
        <v/>
      </c>
    </row>
    <row r="16" customFormat="false" ht="25.5" hidden="false" customHeight="true" outlineLevel="0" collapsed="false">
      <c r="A16" s="3" t="s">
        <v>133</v>
      </c>
      <c r="B16" s="3"/>
      <c r="C16" s="3"/>
      <c r="D16" s="3"/>
      <c r="E16" s="3" t="n">
        <f aca="false">SUM(E5:E14)</f>
        <v>0</v>
      </c>
      <c r="F16" s="3" t="n">
        <f aca="false">SUM(F5:F14)</f>
        <v>0</v>
      </c>
      <c r="G16" s="3" t="n">
        <f aca="false">SUM(G5:G14)</f>
        <v>0</v>
      </c>
      <c r="H16" s="3" t="n">
        <f aca="false">SUM(H5:H14)</f>
        <v>0</v>
      </c>
      <c r="I16" s="20" t="str">
        <f aca="false">IFERROR(H16/F16,"")</f>
        <v/>
      </c>
      <c r="J16" s="3" t="n">
        <f aca="false">SUM(J5:J14)</f>
        <v>0</v>
      </c>
      <c r="K16" s="20" t="str">
        <f aca="false">IFERROR(J16/H16,"")</f>
        <v/>
      </c>
    </row>
  </sheetData>
  <mergeCells count="3">
    <mergeCell ref="A1:K1"/>
    <mergeCell ref="A2:K2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2026-04-16T06:08:37Z</dcterms:created>
  <dc:creator>openpyxl</dc:creator>
  <dc:description/>
  <dc:language>en-US</dc:language>
  <cp:lastModifiedBy/>
  <dcterms:modified xsi:type="dcterms:W3CDTF">2026-04-16T06:08:37Z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